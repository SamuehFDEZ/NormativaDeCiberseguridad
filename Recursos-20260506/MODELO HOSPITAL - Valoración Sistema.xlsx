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/Downloads/"/>
    </mc:Choice>
  </mc:AlternateContent>
  <xr:revisionPtr revIDLastSave="0" documentId="13_ncr:1_{95F2006F-71E4-524C-97DF-94D9F5BC6965}" xr6:coauthVersionLast="47" xr6:coauthVersionMax="47" xr10:uidLastSave="{00000000-0000-0000-0000-000000000000}"/>
  <bookViews>
    <workbookView xWindow="0" yWindow="620" windowWidth="28800" windowHeight="15740" activeTab="1" xr2:uid="{00000000-000D-0000-FFFF-FFFF00000000}"/>
  </bookViews>
  <sheets>
    <sheet name="Leyenda" sheetId="2" r:id="rId1"/>
    <sheet name="Sistema-Servicios" sheetId="1" r:id="rId2"/>
    <sheet name="Categorización Datos" sheetId="4" state="hidden" r:id="rId3"/>
  </sheets>
  <definedNames>
    <definedName name="_xlnm._FilterDatabase" localSheetId="1" hidden="1">'Sistema-Servicios'!$A$1:$N$8</definedName>
    <definedName name="CONFIDENCIALIDAD">Leyenda!$C$10:$C$12</definedName>
    <definedName name="DISPONIBILIDAD">Leyenda!$B$10:$B$13</definedName>
    <definedName name="INTEGRIDAD">Leyenda!$D$10:$D$12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/>
  <c r="K5" i="1"/>
  <c r="L5" i="1"/>
  <c r="M5" i="1"/>
  <c r="I6" i="1"/>
  <c r="J6" i="1"/>
  <c r="K6" i="1"/>
  <c r="L6" i="1"/>
  <c r="M6" i="1"/>
  <c r="I7" i="1"/>
  <c r="J7" i="1"/>
  <c r="K7" i="1"/>
  <c r="L7" i="1"/>
  <c r="M7" i="1"/>
  <c r="I8" i="1"/>
  <c r="N8" i="1" s="1"/>
  <c r="J8" i="1"/>
  <c r="K8" i="1"/>
  <c r="L8" i="1"/>
  <c r="M8" i="1"/>
  <c r="H8" i="4"/>
  <c r="H7" i="4"/>
  <c r="H12" i="4" s="1"/>
  <c r="H6" i="4"/>
  <c r="H5" i="4"/>
  <c r="H4" i="4"/>
  <c r="H3" i="4"/>
  <c r="K2" i="1"/>
  <c r="K3" i="1"/>
  <c r="K4" i="1"/>
  <c r="J2" i="1"/>
  <c r="J3" i="1"/>
  <c r="J4" i="1"/>
  <c r="I2" i="1"/>
  <c r="N7" i="1" l="1"/>
  <c r="N5" i="1"/>
  <c r="N6" i="1"/>
  <c r="H15" i="4"/>
  <c r="I3" i="1"/>
  <c r="L3" i="1"/>
  <c r="M3" i="1"/>
  <c r="I4" i="1"/>
  <c r="L4" i="1"/>
  <c r="M4" i="1"/>
  <c r="N3" i="1" l="1"/>
  <c r="N4" i="1"/>
  <c r="L2" i="1" l="1"/>
  <c r="M2" i="1"/>
  <c r="N2" i="1" l="1"/>
</calcChain>
</file>

<file path=xl/sharedStrings.xml><?xml version="1.0" encoding="utf-8"?>
<sst xmlns="http://schemas.openxmlformats.org/spreadsheetml/2006/main" count="143" uniqueCount="68">
  <si>
    <t>DISPONIBILIDAD</t>
  </si>
  <si>
    <t>CONFIDENCIALIDAD</t>
  </si>
  <si>
    <t>INTEGRIDAD</t>
  </si>
  <si>
    <t>AUTENTICIDAD</t>
  </si>
  <si>
    <t>TRAZABILIDAD</t>
  </si>
  <si>
    <t>Consecuencias que tendría el que una persona autorizada no pudiera usar la aplicación/servicio cuando lo necesita.</t>
  </si>
  <si>
    <t>Consecuencias que tendría el que una persona no autorizada acceda a los datos de la aplicación/servicio.</t>
  </si>
  <si>
    <t>Posibilidad de que la información quede incompleta o inexacta</t>
  </si>
  <si>
    <t>Consecuencias que tendría el hecho de que la información no fuera auténtica</t>
  </si>
  <si>
    <t>Consecuencias que tendría el no poder rastrear a posteriori quién ha accedido o
modificado una cierta información</t>
  </si>
  <si>
    <t>CRITERIOS DISPONIBILIDAD</t>
  </si>
  <si>
    <t>CRITERIOS DATOS CONFIDENCIALIDAD</t>
  </si>
  <si>
    <t>CRITRIOS DATOS INTEGRIDAD</t>
  </si>
  <si>
    <t>CRITERIOS AUTENTICIDAD</t>
  </si>
  <si>
    <t>CRITERIOS TRAZABILIDAD</t>
  </si>
  <si>
    <t>ALTO</t>
  </si>
  <si>
    <t>&lt;4 horas</t>
  </si>
  <si>
    <t>* La información que se maneja deben conocerla un número muy reducido de personas.
* Causaría pérdidas económicas elevadas o alteraciones financieras significativas.</t>
  </si>
  <si>
    <t>* Grave daño, de difícil o imposible reparación al usuario</t>
  </si>
  <si>
    <t>*Alto:por disposición legal o administrativa; porque la falsedad causaría un grave daño, pérdidas económicas elevadas,daño reputacional o protestas masivas</t>
  </si>
  <si>
    <t>* Impediría la capacidad de subsanar un error grave.
* Impediría la capacidad para perseguir delitos.
* Facilitaría enormemente la comisión de delitos graves.</t>
  </si>
  <si>
    <t>MEDIO</t>
  </si>
  <si>
    <t>&gt;=4 horas &amp; &lt; 1 día</t>
  </si>
  <si>
    <t>* La información que se maneja deben conocerla solo quienes lo necesitan para su trabajo, con autorización explícita.
* Causaría pérdidas económicas importantes.</t>
  </si>
  <si>
    <t>* Daño importante al usuario pero subsanable</t>
  </si>
  <si>
    <t>* Medio: por disposición legal o administrativa; porque la falsedad causaría perdidas económicas importantes, daño reputacional importante o protestas públicas.</t>
  </si>
  <si>
    <t>* Dificultaría gravemente la capacidad de subsanar un error grave.
* Impediría la capacidad de subsanar un error importante.
* Dificultaría gravemente la capacidad para perseguir delitos.
* Facilitaría la comisión de delitos.</t>
  </si>
  <si>
    <t>BAJO</t>
  </si>
  <si>
    <t>1-5 días</t>
  </si>
  <si>
    <t>* La información que se maneja no deben conocerla personas ajenas a la organización.
* Causaría pérdidas económicas apreciables.</t>
  </si>
  <si>
    <t>* Algún perjuicio al usuario</t>
  </si>
  <si>
    <t xml:space="preserve">*  Algún perjuicio, pérdidas económicas apreciables, daño reputacional apreciable o protestas individuales </t>
  </si>
  <si>
    <t>* Dificultaría la capacidad de subsanar errores.
* Dificultaría la capacidad para perseguir delitos.</t>
  </si>
  <si>
    <t>SIN VALORAR</t>
  </si>
  <si>
    <t>&gt;5 días</t>
  </si>
  <si>
    <t>* Información de carácter público, accesible por cualquier persona</t>
  </si>
  <si>
    <t>* Cuando los errores en la información que se maneja carecen de consecuencias o son fácil y rápidamente reparables.</t>
  </si>
  <si>
    <t>*Bajo: por disposición legal o administrativa; porque la falsedad causaría algún perjuicio, pérdidas económicas apreciables, daño reputacional apreciable o protestas individuales</t>
  </si>
  <si>
    <t>* No se pueden producir errores de importancia, o sin fácilmente reparables por otros medios.
* No se pueden perpetrar delitos relevantes, o su investigación es fácilmente realizable por otros medios.</t>
  </si>
  <si>
    <t>SISTEMA DE INFORMACIÓN</t>
  </si>
  <si>
    <t>SERVICIO</t>
  </si>
  <si>
    <t>OBSERVACIONES</t>
  </si>
  <si>
    <t xml:space="preserve">CRITERIOS DISPONIBILIDAD </t>
  </si>
  <si>
    <t>CRITERIOS DATOS INTEGRIDAD</t>
  </si>
  <si>
    <t>D</t>
  </si>
  <si>
    <t>C</t>
  </si>
  <si>
    <t>I</t>
  </si>
  <si>
    <t>A</t>
  </si>
  <si>
    <t>T</t>
  </si>
  <si>
    <t>CATEGORIZACIÓN</t>
  </si>
  <si>
    <t>[SIS-SIH] Sistema de Informacion Hospitalario</t>
  </si>
  <si>
    <t>[SI-INF] Servicio Infraestructura</t>
  </si>
  <si>
    <t>[SI-CAU] Servicio Soporte a Usuarios</t>
  </si>
  <si>
    <t>[SI-APLI] Servicio Aplicaciones</t>
  </si>
  <si>
    <t>DATOS-INFORMACIÓN</t>
  </si>
  <si>
    <t>D-TD-GC]GESTION CLINICA</t>
  </si>
  <si>
    <t>[D-TD-GP]GESTION DE PERSONAS</t>
  </si>
  <si>
    <t>DESPRECIABLE</t>
  </si>
  <si>
    <t>[D-TD-GF]GESTION FINANCIERA</t>
  </si>
  <si>
    <t>[D-TP-DEP] GESTIÓN CLÍNICA DEPARTAMENTAL</t>
  </si>
  <si>
    <t>D-TD-ME]MEDICINA DE EMPRESA</t>
  </si>
  <si>
    <t>D-TD-NOM]NOMINAS</t>
  </si>
  <si>
    <t>[D-TP-OFI] DATOS DEPARTAMENTALES</t>
  </si>
  <si>
    <t>[D-TD-VID]VIDEOVIGILANCIA</t>
  </si>
  <si>
    <t>CATEGORIZACIÓN MAXIMA DATOS:</t>
  </si>
  <si>
    <t>Fecha:</t>
  </si>
  <si>
    <t>Firma Resp. Seguridad: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</si>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</sst>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charset val="1"/>
    </font>
    <font>
      <b/>
      <sz val="11"/>
      <color rgb="FF3F3F76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C99"/>
        <bgColor rgb="FFFFEB9C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9" fillId="7" borderId="0" applyNumberFormat="0" applyBorder="0" applyAlignment="0" applyProtection="0"/>
    <xf numFmtId="0" fontId="10" fillId="8" borderId="1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/>
    <xf numFmtId="0" fontId="8" fillId="0" borderId="0" xfId="0" applyFont="1"/>
    <xf numFmtId="0" fontId="3" fillId="3" borderId="3" xfId="2" applyFont="1" applyBorder="1" applyAlignment="1">
      <alignment wrapText="1"/>
    </xf>
    <xf numFmtId="0" fontId="3" fillId="3" borderId="4" xfId="2" applyFont="1" applyBorder="1" applyAlignment="1">
      <alignment wrapText="1"/>
    </xf>
    <xf numFmtId="0" fontId="3" fillId="3" borderId="5" xfId="2" applyFont="1" applyBorder="1" applyAlignment="1">
      <alignment wrapText="1"/>
    </xf>
    <xf numFmtId="0" fontId="5" fillId="0" borderId="7" xfId="0" applyFont="1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7" xfId="0" applyBorder="1" applyAlignment="1">
      <alignment horizontal="left" vertical="center" wrapText="1"/>
    </xf>
    <xf numFmtId="0" fontId="11" fillId="8" borderId="9" xfId="4" applyFont="1" applyBorder="1" applyAlignment="1" applyProtection="1">
      <alignment wrapText="1"/>
    </xf>
    <xf numFmtId="0" fontId="11" fillId="8" borderId="10" xfId="4" applyFont="1" applyBorder="1" applyAlignment="1" applyProtection="1">
      <alignment wrapText="1"/>
    </xf>
    <xf numFmtId="0" fontId="11" fillId="8" borderId="11" xfId="4" applyFont="1" applyBorder="1" applyAlignment="1" applyProtection="1">
      <alignment wrapText="1"/>
    </xf>
    <xf numFmtId="0" fontId="11" fillId="8" borderId="11" xfId="4" applyFont="1" applyBorder="1" applyProtection="1"/>
    <xf numFmtId="0" fontId="9" fillId="7" borderId="0" xfId="3" applyAlignment="1">
      <alignment wrapText="1"/>
    </xf>
    <xf numFmtId="0" fontId="9" fillId="7" borderId="0" xfId="3"/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5">
    <cellStyle name="Bueno" xfId="3" builtinId="26"/>
    <cellStyle name="Entrada" xfId="2" builtinId="20"/>
    <cellStyle name="Excel Built-in Input" xfId="4" xr:uid="{9356492F-D428-4489-988D-B646FC1ABB6E}"/>
    <cellStyle name="Neutral" xfId="1" builtinId="28"/>
    <cellStyle name="Normal" xfId="0" builtinId="0"/>
  </cellStyles>
  <dxfs count="27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8" displayName="Tabla8" ref="B8:F13" totalsRowShown="0" headerRowDxfId="26">
  <autoFilter ref="B8:F13" xr:uid="{00000000-0009-0000-0100-000002000000}"/>
  <tableColumns count="5">
    <tableColumn id="1" xr3:uid="{00000000-0010-0000-0000-000001000000}" name="CRITERIOS DISPONIBILIDAD"/>
    <tableColumn id="2" xr3:uid="{00000000-0010-0000-0000-000002000000}" name="CRITERIOS DATOS CONFIDENCIALIDAD"/>
    <tableColumn id="3" xr3:uid="{00000000-0010-0000-0000-000003000000}" name="CRITRIOS DATOS INTEGRIDAD"/>
    <tableColumn id="4" xr3:uid="{00000000-0010-0000-0000-000004000000}" name="CRITERIOS AUTENTICIDAD"/>
    <tableColumn id="5" xr3:uid="{00000000-0010-0000-0000-000005000000}" name="CRITERIOS TRAZABIL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10" displayName="Tabla10" ref="B5:F6" totalsRowShown="0" headerRowDxfId="25" dataDxfId="24">
  <autoFilter ref="B5:F6" xr:uid="{00000000-0009-0000-0100-000003000000}"/>
  <tableColumns count="5">
    <tableColumn id="1" xr3:uid="{00000000-0010-0000-0100-000001000000}" name="DISPONIBILIDAD" dataDxfId="23"/>
    <tableColumn id="2" xr3:uid="{00000000-0010-0000-0100-000002000000}" name="CONFIDENCIALIDAD" dataDxfId="22"/>
    <tableColumn id="3" xr3:uid="{00000000-0010-0000-0100-000003000000}" name="INTEGRIDAD" dataDxfId="21"/>
    <tableColumn id="4" xr3:uid="{00000000-0010-0000-0100-000004000000}" name="AUTENTICIDAD" dataDxfId="20"/>
    <tableColumn id="5" xr3:uid="{00000000-0010-0000-0100-000005000000}" name="TRAZABILIDAD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a3" displayName="Tabla3" ref="A1:N8" totalsRowShown="0" headerRowDxfId="18" dataDxfId="16" headerRowBorderDxfId="17" tableBorderDxfId="15" totalsRowBorderDxfId="14" headerRowCellStyle="Entrada">
  <tableColumns count="14">
    <tableColumn id="1" xr3:uid="{00000000-0010-0000-0200-000001000000}" name="SISTEMA DE INFORMACIÓN" dataDxfId="13"/>
    <tableColumn id="15" xr3:uid="{816503F4-E256-448C-BA8C-6A24865D6BE2}" name="SERVICIO" dataDxfId="12"/>
    <tableColumn id="3" xr3:uid="{00000000-0010-0000-0200-000003000000}" name="OBSERVACIONES" dataDxfId="11"/>
    <tableColumn id="4" xr3:uid="{00000000-0010-0000-0200-000004000000}" name="CRITERIOS DISPONIBILIDAD " dataDxfId="10"/>
    <tableColumn id="5" xr3:uid="{00000000-0010-0000-0200-000005000000}" name="CRITERIOS DATOS CONFIDENCIALIDAD" dataDxfId="9"/>
    <tableColumn id="6" xr3:uid="{00000000-0010-0000-0200-000006000000}" name="CRITERIOS DATOS INTEGRIDAD" dataDxfId="8"/>
    <tableColumn id="2" xr3:uid="{00000000-0010-0000-0200-000002000000}" name="CRITERIOS AUTENTICIDAD" dataDxfId="7"/>
    <tableColumn id="11" xr3:uid="{00000000-0010-0000-0200-00000B000000}" name="CRITERIOS TRAZABILIDAD" dataDxfId="6"/>
    <tableColumn id="7" xr3:uid="{00000000-0010-0000-0200-000007000000}" name="D" dataDxfId="5">
      <calculatedColumnFormula>IF('Sistema-Servicios'!D2=Leyenda!$B$10,"ALTO",IF('Sistema-Servicios'!D2=Leyenda!$B$11,"MEDIO",IF('Sistema-Servicios'!D2=Leyenda!$B$12,"BAJO",IF('Sistema-Servicios'!D2=Leyenda!$B$13,"NO APLICA",))))</calculatedColumnFormula>
    </tableColumn>
    <tableColumn id="8" xr3:uid="{00000000-0010-0000-0200-000008000000}" name="C" dataDxfId="4">
      <calculatedColumnFormula>IF('Sistema-Servicios'!E2=Leyenda!$C$10,"ALTO",IF('Sistema-Servicios'!E2=Leyenda!$C$11,"MEDIO",IF('Sistema-Servicios'!E2=Leyenda!$C$12,"BAJO",IF('Sistema-Servicios'!E2=Leyenda!$B$13,"""NOAPLICA",))))</calculatedColumnFormula>
    </tableColumn>
    <tableColumn id="9" xr3:uid="{00000000-0010-0000-0200-000009000000}" name="I" dataDxfId="3">
      <calculatedColumnFormula>IF('Sistema-Servicios'!F2=Leyenda!$D$10,"ALTO",IF('Sistema-Servicios'!F2=Leyenda!$D$11,"MEDIO",IF('Sistema-Servicios'!F2=Leyenda!$D$12,"BAJO",IF('Sistema-Servicios'!F2=Leyenda!$B$13,"""NOAPLICA",))))</calculatedColumnFormula>
    </tableColumn>
    <tableColumn id="14" xr3:uid="{00000000-0010-0000-0200-00000E000000}" name="A" dataDxfId="2">
      <calculatedColumnFormula>IF('Sistema-Servicios'!G2=Leyenda!$E$10,"ALTO",IF('Sistema-Servicios'!G2=Leyenda!$E$11,"MEDIO",IF('Sistema-Servicios'!G2=Leyenda!$E$12,"BAJO",)))</calculatedColumnFormula>
    </tableColumn>
    <tableColumn id="13" xr3:uid="{00000000-0010-0000-0200-00000D000000}" name="T" dataDxfId="1">
      <calculatedColumnFormula>IF('Sistema-Servicios'!H2=Leyenda!$F$10,"ALTO",IF('Sistema-Servicios'!H2=Leyenda!$F$11,"MEDIO",IF('Sistema-Servicios'!H2=Leyenda!$F$12,"BAJO",)))</calculatedColumnFormula>
    </tableColumn>
    <tableColumn id="10" xr3:uid="{00000000-0010-0000-0200-00000A000000}" name="CATEGORIZACIÓN" dataDxfId="0" dataCellStyle="Neutral">
      <calculatedColumnFormula>IF(OR(I2="ALTO",K2="ALTO",J2="ALTO",L2="ALTO",M2="ALTO"),"ALTO",IF(OR(I2="MEDIO",K2="MEDIO",J2="MEDIO",L2="MEDIO",M2="MEDIO",),"MEDIO","BAJO"))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3"/>
  <sheetViews>
    <sheetView workbookViewId="0">
      <selection activeCell="C11" sqref="C11"/>
    </sheetView>
  </sheetViews>
  <sheetFormatPr baseColWidth="10" defaultColWidth="11.5" defaultRowHeight="15" x14ac:dyDescent="0.2"/>
  <cols>
    <col min="2" max="2" width="37.83203125" bestFit="1" customWidth="1"/>
    <col min="3" max="3" width="41.1640625" customWidth="1"/>
    <col min="4" max="4" width="51.83203125" customWidth="1"/>
    <col min="5" max="5" width="49.1640625" customWidth="1"/>
    <col min="6" max="6" width="41.83203125" customWidth="1"/>
  </cols>
  <sheetData>
    <row r="3" spans="1:6" x14ac:dyDescent="0.2">
      <c r="B3" s="2"/>
    </row>
    <row r="4" spans="1:6" x14ac:dyDescent="0.2">
      <c r="B4" s="2"/>
      <c r="F4" s="1"/>
    </row>
    <row r="5" spans="1:6" ht="16" x14ac:dyDescent="0.2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 spans="1:6" ht="48" x14ac:dyDescent="0.2"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8" spans="1:6" x14ac:dyDescent="0.2">
      <c r="B8" s="3" t="s">
        <v>10</v>
      </c>
      <c r="C8" s="3" t="s">
        <v>11</v>
      </c>
      <c r="D8" s="3" t="s">
        <v>12</v>
      </c>
      <c r="E8" s="4" t="s">
        <v>13</v>
      </c>
      <c r="F8" s="4" t="s">
        <v>14</v>
      </c>
    </row>
    <row r="9" spans="1:6" x14ac:dyDescent="0.2">
      <c r="B9" s="3"/>
      <c r="C9" s="3"/>
      <c r="D9" s="3"/>
    </row>
    <row r="10" spans="1:6" ht="64" x14ac:dyDescent="0.2">
      <c r="A10" s="14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s="1" t="s">
        <v>20</v>
      </c>
    </row>
    <row r="11" spans="1:6" ht="112" x14ac:dyDescent="0.2">
      <c r="A11" s="15" t="s">
        <v>21</v>
      </c>
      <c r="B11" t="s">
        <v>22</v>
      </c>
      <c r="C11" s="13" t="s">
        <v>23</v>
      </c>
      <c r="D11" t="s">
        <v>24</v>
      </c>
      <c r="E11" s="1" t="s">
        <v>25</v>
      </c>
      <c r="F11" s="1" t="s">
        <v>26</v>
      </c>
    </row>
    <row r="12" spans="1:6" ht="48" x14ac:dyDescent="0.2">
      <c r="A12" s="16" t="s">
        <v>27</v>
      </c>
      <c r="B12" t="s">
        <v>28</v>
      </c>
      <c r="C12" s="1" t="s">
        <v>29</v>
      </c>
      <c r="D12" s="1" t="s">
        <v>30</v>
      </c>
      <c r="E12" s="1" t="s">
        <v>31</v>
      </c>
      <c r="F12" s="1" t="s">
        <v>32</v>
      </c>
    </row>
    <row r="13" spans="1:6" ht="80" x14ac:dyDescent="0.2">
      <c r="A13" t="s">
        <v>33</v>
      </c>
      <c r="B13" t="s">
        <v>34</v>
      </c>
      <c r="C13" s="1" t="s">
        <v>35</v>
      </c>
      <c r="D13" s="1" t="s">
        <v>36</v>
      </c>
      <c r="E13" s="1" t="s">
        <v>37</v>
      </c>
      <c r="F13" s="1" t="s">
        <v>38</v>
      </c>
    </row>
  </sheetData>
  <pageMargins left="0.7" right="0.7" top="0.75" bottom="0.75" header="0.3" footer="0.3"/>
  <pageSetup paperSize="9" orientation="portrait" r:id="rId1"/>
  <headerFooter>
    <oddFooter>&amp;L&amp;1#&amp;"Calibri"&amp;10&amp;KC0C0C0Documentación Pública</oddFooter>
  </headerFooter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N21"/>
  <sheetViews>
    <sheetView tabSelected="1" zoomScaleNormal="100" workbookViewId="0">
      <selection activeCell="F5" sqref="F5"/>
    </sheetView>
  </sheetViews>
  <sheetFormatPr baseColWidth="10" defaultColWidth="11.5" defaultRowHeight="15" x14ac:dyDescent="0.2"/>
  <cols>
    <col min="1" max="2" width="27" customWidth="1"/>
    <col min="3" max="3" width="17.5" style="1" customWidth="1"/>
    <col min="4" max="4" width="26.5" customWidth="1"/>
    <col min="5" max="5" width="33.5" customWidth="1"/>
    <col min="6" max="6" width="41.5" customWidth="1"/>
    <col min="7" max="7" width="32.1640625" customWidth="1"/>
    <col min="8" max="8" width="34.83203125" customWidth="1"/>
    <col min="9" max="9" width="8.83203125" customWidth="1"/>
    <col min="10" max="10" width="8.1640625" customWidth="1"/>
    <col min="11" max="11" width="10.5" customWidth="1"/>
    <col min="12" max="13" width="7.83203125" customWidth="1"/>
    <col min="14" max="14" width="20.5" customWidth="1"/>
  </cols>
  <sheetData>
    <row r="1" spans="1:14" s="1" customFormat="1" ht="16" x14ac:dyDescent="0.2">
      <c r="A1" s="5" t="s">
        <v>39</v>
      </c>
      <c r="B1" s="5" t="s">
        <v>40</v>
      </c>
      <c r="C1" s="6" t="s">
        <v>41</v>
      </c>
      <c r="D1" s="6" t="s">
        <v>42</v>
      </c>
      <c r="E1" s="6" t="s">
        <v>11</v>
      </c>
      <c r="F1" s="6" t="s">
        <v>43</v>
      </c>
      <c r="G1" s="6" t="s">
        <v>13</v>
      </c>
      <c r="H1" s="6" t="s">
        <v>14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7" t="s">
        <v>49</v>
      </c>
    </row>
    <row r="2" spans="1:14" ht="144.5" customHeight="1" x14ac:dyDescent="0.2">
      <c r="A2" s="12" t="s">
        <v>50</v>
      </c>
      <c r="B2" s="12" t="s">
        <v>51</v>
      </c>
      <c r="C2" s="17" t="s">
        <v>67</v>
      </c>
      <c r="D2" s="10" t="s">
        <v>22</v>
      </c>
      <c r="E2" s="11" t="s">
        <v>23</v>
      </c>
      <c r="F2" t="s">
        <v>24</v>
      </c>
      <c r="G2" s="11" t="s">
        <v>25</v>
      </c>
      <c r="H2" s="1" t="s">
        <v>26</v>
      </c>
      <c r="I2" s="8" t="str">
        <f>IF('Sistema-Servicios'!D2=Leyenda!$B$10,"ALTO",IF('Sistema-Servicios'!D2=Leyenda!$B$11,"MEDIO",IF('Sistema-Servicios'!D2=Leyenda!$B$12,"BAJO",IF('Sistema-Servicios'!D2=Leyenda!$B$13,"NO APLICA",))))</f>
        <v>MEDIO</v>
      </c>
      <c r="J2" s="8" t="str">
        <f>IF('Sistema-Servicios'!E2=Leyenda!$C$10,"ALTO",IF('Sistema-Servicios'!E2=Leyenda!$C$11,"MEDIO",IF('Sistema-Servicios'!E2=Leyenda!$C$12,"BAJO",IF('Sistema-Servicios'!E2=Leyenda!$B$13,"""NOAPLICA",))))</f>
        <v>MEDIO</v>
      </c>
      <c r="K2" s="8" t="str">
        <f>IF('Sistema-Servicios'!F2=Leyenda!$D$10,"ALTO",IF('Sistema-Servicios'!F2=Leyenda!$D$11,"MEDIO",IF('Sistema-Servicios'!F2=Leyenda!$D$12,"BAJO",IF('Sistema-Servicios'!F2=Leyenda!$B$13,"""NOAPLICA",))))</f>
        <v>MEDIO</v>
      </c>
      <c r="L2" s="8" t="str">
        <f>IF('Sistema-Servicios'!G2=Leyenda!$E$10,"ALTO",IF('Sistema-Servicios'!G2=Leyenda!$E$11,"MEDIO",IF('Sistema-Servicios'!G2=Leyenda!$E$12,"BAJO",)))</f>
        <v>MEDIO</v>
      </c>
      <c r="M2" s="8" t="str">
        <f>IF('Sistema-Servicios'!H2=Leyenda!$F$10,"ALTO",IF('Sistema-Servicios'!H2=Leyenda!$F$11,"MEDIO",IF('Sistema-Servicios'!H2=Leyenda!$F$12,"BAJO",)))</f>
        <v>MEDIO</v>
      </c>
      <c r="N2" s="9" t="str">
        <f t="shared" ref="N2" si="0">IF(OR(I2="ALTO",K2="ALTO",J2="ALTO",L2="ALTO",M2="ALTO"),"ALTO",IF(OR(I2="MEDIO",K2="MEDIO",J2="MEDIO",L2="MEDIO",M2="MEDIO",),"MEDIO","BAJO"))</f>
        <v>MEDIO</v>
      </c>
    </row>
    <row r="3" spans="1:14" ht="80" x14ac:dyDescent="0.2">
      <c r="A3" s="12" t="s">
        <v>50</v>
      </c>
      <c r="B3" s="12" t="s">
        <v>52</v>
      </c>
      <c r="C3" s="17" t="s">
        <v>67</v>
      </c>
      <c r="D3" t="s">
        <v>28</v>
      </c>
      <c r="E3" s="1" t="s">
        <v>29</v>
      </c>
      <c r="F3" s="1" t="s">
        <v>30</v>
      </c>
      <c r="G3" s="11" t="s">
        <v>31</v>
      </c>
      <c r="H3" s="11" t="s">
        <v>32</v>
      </c>
      <c r="I3" s="8" t="str">
        <f>IF('Sistema-Servicios'!D3=Leyenda!$B$10,"ALTO",IF('Sistema-Servicios'!D3=Leyenda!$B$11,"MEDIO",IF('Sistema-Servicios'!D3=Leyenda!$B$12,"BAJO",IF('Sistema-Servicios'!D3=Leyenda!$B$13,"NO APLICA",))))</f>
        <v>BAJO</v>
      </c>
      <c r="J3" s="8" t="str">
        <f>IF('Sistema-Servicios'!E3=Leyenda!$C$10,"ALTO",IF('Sistema-Servicios'!E3=Leyenda!$C$11,"MEDIO",IF('Sistema-Servicios'!E3=Leyenda!$C$12,"BAJO",IF('Sistema-Servicios'!E3=Leyenda!$B$13,"""NOAPLICA",))))</f>
        <v>BAJO</v>
      </c>
      <c r="K3" s="8" t="str">
        <f>IF('Sistema-Servicios'!F3=Leyenda!$D$10,"ALTO",IF('Sistema-Servicios'!F3=Leyenda!$D$11,"MEDIO",IF('Sistema-Servicios'!F3=Leyenda!$D$12,"BAJO",IF('Sistema-Servicios'!F3=Leyenda!$B$13,"""NOAPLICA",))))</f>
        <v>BAJO</v>
      </c>
      <c r="L3" s="8" t="str">
        <f>IF('Sistema-Servicios'!G3=Leyenda!$E$10,"ALTO",IF('Sistema-Servicios'!G3=Leyenda!$E$11,"MEDIO",IF('Sistema-Servicios'!G3=Leyenda!$E$12,"BAJO",)))</f>
        <v>BAJO</v>
      </c>
      <c r="M3" s="8" t="str">
        <f>IF('Sistema-Servicios'!H3=Leyenda!$F$10,"ALTO",IF('Sistema-Servicios'!H3=Leyenda!$F$11,"MEDIO",IF('Sistema-Servicios'!H3=Leyenda!$F$12,"BAJO",)))</f>
        <v>BAJO</v>
      </c>
      <c r="N3" s="9" t="str">
        <f t="shared" ref="N3:N4" si="1">IF(OR(I3="ALTO",K3="ALTO",J3="ALTO",L3="ALTO",M3="ALTO"),"ALTO",IF(OR(I3="MEDIO",K3="MEDIO",J3="MEDIO",L3="MEDIO",M3="MEDIO",),"MEDIO","BAJO"))</f>
        <v>BAJO</v>
      </c>
    </row>
    <row r="4" spans="1:14" ht="80" x14ac:dyDescent="0.2">
      <c r="A4" s="12" t="s">
        <v>50</v>
      </c>
      <c r="B4" s="12" t="s">
        <v>53</v>
      </c>
      <c r="C4" s="17" t="s">
        <v>67</v>
      </c>
      <c r="D4" t="s">
        <v>28</v>
      </c>
      <c r="E4" s="1" t="s">
        <v>29</v>
      </c>
      <c r="F4" s="1" t="s">
        <v>30</v>
      </c>
      <c r="G4" s="11" t="s">
        <v>31</v>
      </c>
      <c r="H4" s="11" t="s">
        <v>32</v>
      </c>
      <c r="I4" s="8" t="str">
        <f>IF('Sistema-Servicios'!D4=Leyenda!$B$10,"ALTO",IF('Sistema-Servicios'!D4=Leyenda!$B$11,"MEDIO",IF('Sistema-Servicios'!D4=Leyenda!$B$12,"BAJO",IF('Sistema-Servicios'!D4=Leyenda!$B$13,"NO APLICA",))))</f>
        <v>BAJO</v>
      </c>
      <c r="J4" s="8" t="str">
        <f>IF('Sistema-Servicios'!E4=Leyenda!$C$10,"ALTO",IF('Sistema-Servicios'!E4=Leyenda!$C$11,"MEDIO",IF('Sistema-Servicios'!E4=Leyenda!$C$12,"BAJO",IF('Sistema-Servicios'!E4=Leyenda!$B$13,"""NOAPLICA",))))</f>
        <v>BAJO</v>
      </c>
      <c r="K4" s="8" t="str">
        <f>IF('Sistema-Servicios'!F4=Leyenda!$D$10,"ALTO",IF('Sistema-Servicios'!F4=Leyenda!$D$11,"MEDIO",IF('Sistema-Servicios'!F4=Leyenda!$D$12,"BAJO",IF('Sistema-Servicios'!F4=Leyenda!$B$13,"""NOAPLICA",))))</f>
        <v>BAJO</v>
      </c>
      <c r="L4" s="8" t="str">
        <f>IF('Sistema-Servicios'!G4=Leyenda!$E$10,"ALTO",IF('Sistema-Servicios'!G4=Leyenda!$E$11,"MEDIO",IF('Sistema-Servicios'!G4=Leyenda!$E$12,"BAJO",)))</f>
        <v>BAJO</v>
      </c>
      <c r="M4" s="8" t="str">
        <f>IF('Sistema-Servicios'!H4=Leyenda!$F$10,"ALTO",IF('Sistema-Servicios'!H4=Leyenda!$F$11,"MEDIO",IF('Sistema-Servicios'!H4=Leyenda!$F$12,"BAJO",)))</f>
        <v>BAJO</v>
      </c>
      <c r="N4" s="9" t="str">
        <f t="shared" si="1"/>
        <v>BAJO</v>
      </c>
    </row>
    <row r="5" spans="1:14" ht="32" x14ac:dyDescent="0.2">
      <c r="A5" s="12" t="s">
        <v>50</v>
      </c>
      <c r="B5" s="12"/>
      <c r="C5" s="17"/>
      <c r="E5" s="1"/>
      <c r="F5" s="1"/>
      <c r="G5" s="11"/>
      <c r="H5" s="11"/>
      <c r="I5" s="8">
        <f>IF('Sistema-Servicios'!D5=Leyenda!$B$10,"ALTO",IF('Sistema-Servicios'!D5=Leyenda!$B$11,"MEDIO",IF('Sistema-Servicios'!D5=Leyenda!$B$12,"BAJO",IF('Sistema-Servicios'!D5=Leyenda!$B$13,"NO APLICA",))))</f>
        <v>0</v>
      </c>
      <c r="J5" s="8">
        <f>IF('Sistema-Servicios'!E5=Leyenda!$C$10,"ALTO",IF('Sistema-Servicios'!E5=Leyenda!$C$11,"MEDIO",IF('Sistema-Servicios'!E5=Leyenda!$C$12,"BAJO",IF('Sistema-Servicios'!E5=Leyenda!$B$13,"""NOAPLICA",))))</f>
        <v>0</v>
      </c>
      <c r="K5" s="8">
        <f>IF('Sistema-Servicios'!F5=Leyenda!$D$10,"ALTO",IF('Sistema-Servicios'!F5=Leyenda!$D$11,"MEDIO",IF('Sistema-Servicios'!F5=Leyenda!$D$12,"BAJO",IF('Sistema-Servicios'!F5=Leyenda!$B$13,"""NOAPLICA",))))</f>
        <v>0</v>
      </c>
      <c r="L5" s="8">
        <f>IF('Sistema-Servicios'!G5=Leyenda!$E$10,"ALTO",IF('Sistema-Servicios'!G5=Leyenda!$E$11,"MEDIO",IF('Sistema-Servicios'!G5=Leyenda!$E$12,"BAJO",)))</f>
        <v>0</v>
      </c>
      <c r="M5" s="8">
        <f>IF('Sistema-Servicios'!H5=Leyenda!$F$10,"ALTO",IF('Sistema-Servicios'!H5=Leyenda!$F$11,"MEDIO",IF('Sistema-Servicios'!H5=Leyenda!$F$12,"BAJO",)))</f>
        <v>0</v>
      </c>
      <c r="N5" s="9" t="str">
        <f t="shared" ref="N5:N8" si="2">IF(OR(I5="ALTO",K5="ALTO",J5="ALTO",L5="ALTO",M5="ALTO"),"ALTO",IF(OR(I5="MEDIO",K5="MEDIO",J5="MEDIO",L5="MEDIO",M5="MEDIO",),"MEDIO","BAJO"))</f>
        <v>BAJO</v>
      </c>
    </row>
    <row r="6" spans="1:14" ht="32" x14ac:dyDescent="0.2">
      <c r="A6" s="12" t="s">
        <v>50</v>
      </c>
      <c r="B6" s="12"/>
      <c r="C6" s="17"/>
      <c r="E6" s="1"/>
      <c r="F6" s="1"/>
      <c r="G6" s="11"/>
      <c r="H6" s="11"/>
      <c r="I6" s="8">
        <f>IF('Sistema-Servicios'!D6=Leyenda!$B$10,"ALTO",IF('Sistema-Servicios'!D6=Leyenda!$B$11,"MEDIO",IF('Sistema-Servicios'!D6=Leyenda!$B$12,"BAJO",IF('Sistema-Servicios'!D6=Leyenda!$B$13,"NO APLICA",))))</f>
        <v>0</v>
      </c>
      <c r="J6" s="8">
        <f>IF('Sistema-Servicios'!E6=Leyenda!$C$10,"ALTO",IF('Sistema-Servicios'!E6=Leyenda!$C$11,"MEDIO",IF('Sistema-Servicios'!E6=Leyenda!$C$12,"BAJO",IF('Sistema-Servicios'!E6=Leyenda!$B$13,"""NOAPLICA",))))</f>
        <v>0</v>
      </c>
      <c r="K6" s="8">
        <f>IF('Sistema-Servicios'!F6=Leyenda!$D$10,"ALTO",IF('Sistema-Servicios'!F6=Leyenda!$D$11,"MEDIO",IF('Sistema-Servicios'!F6=Leyenda!$D$12,"BAJO",IF('Sistema-Servicios'!F6=Leyenda!$B$13,"""NOAPLICA",))))</f>
        <v>0</v>
      </c>
      <c r="L6" s="8">
        <f>IF('Sistema-Servicios'!G6=Leyenda!$E$10,"ALTO",IF('Sistema-Servicios'!G6=Leyenda!$E$11,"MEDIO",IF('Sistema-Servicios'!G6=Leyenda!$E$12,"BAJO",)))</f>
        <v>0</v>
      </c>
      <c r="M6" s="8">
        <f>IF('Sistema-Servicios'!H6=Leyenda!$F$10,"ALTO",IF('Sistema-Servicios'!H6=Leyenda!$F$11,"MEDIO",IF('Sistema-Servicios'!H6=Leyenda!$F$12,"BAJO",)))</f>
        <v>0</v>
      </c>
      <c r="N6" s="9" t="str">
        <f t="shared" si="2"/>
        <v>BAJO</v>
      </c>
    </row>
    <row r="7" spans="1:14" ht="32" x14ac:dyDescent="0.2">
      <c r="A7" s="12" t="s">
        <v>50</v>
      </c>
      <c r="B7" s="12"/>
      <c r="C7" s="17"/>
      <c r="E7" s="1"/>
      <c r="F7" s="1"/>
      <c r="G7" s="11"/>
      <c r="H7" s="11"/>
      <c r="I7" s="8">
        <f>IF('Sistema-Servicios'!D7=Leyenda!$B$10,"ALTO",IF('Sistema-Servicios'!D7=Leyenda!$B$11,"MEDIO",IF('Sistema-Servicios'!D7=Leyenda!$B$12,"BAJO",IF('Sistema-Servicios'!D7=Leyenda!$B$13,"NO APLICA",))))</f>
        <v>0</v>
      </c>
      <c r="J7" s="8">
        <f>IF('Sistema-Servicios'!E7=Leyenda!$C$10,"ALTO",IF('Sistema-Servicios'!E7=Leyenda!$C$11,"MEDIO",IF('Sistema-Servicios'!E7=Leyenda!$C$12,"BAJO",IF('Sistema-Servicios'!E7=Leyenda!$B$13,"""NOAPLICA",))))</f>
        <v>0</v>
      </c>
      <c r="K7" s="8">
        <f>IF('Sistema-Servicios'!F7=Leyenda!$D$10,"ALTO",IF('Sistema-Servicios'!F7=Leyenda!$D$11,"MEDIO",IF('Sistema-Servicios'!F7=Leyenda!$D$12,"BAJO",IF('Sistema-Servicios'!F7=Leyenda!$B$13,"""NOAPLICA",))))</f>
        <v>0</v>
      </c>
      <c r="L7" s="8">
        <f>IF('Sistema-Servicios'!G7=Leyenda!$E$10,"ALTO",IF('Sistema-Servicios'!G7=Leyenda!$E$11,"MEDIO",IF('Sistema-Servicios'!G7=Leyenda!$E$12,"BAJO",)))</f>
        <v>0</v>
      </c>
      <c r="M7" s="8">
        <f>IF('Sistema-Servicios'!H7=Leyenda!$F$10,"ALTO",IF('Sistema-Servicios'!H7=Leyenda!$F$11,"MEDIO",IF('Sistema-Servicios'!H7=Leyenda!$F$12,"BAJO",)))</f>
        <v>0</v>
      </c>
      <c r="N7" s="9" t="str">
        <f t="shared" si="2"/>
        <v>BAJO</v>
      </c>
    </row>
    <row r="8" spans="1:14" ht="32" x14ac:dyDescent="0.2">
      <c r="A8" s="12" t="s">
        <v>50</v>
      </c>
      <c r="B8" s="12"/>
      <c r="C8" s="17"/>
      <c r="E8" s="1"/>
      <c r="F8" s="1"/>
      <c r="G8" s="11"/>
      <c r="H8" s="11"/>
      <c r="I8" s="8">
        <f>IF('Sistema-Servicios'!D8=Leyenda!$B$10,"ALTO",IF('Sistema-Servicios'!D8=Leyenda!$B$11,"MEDIO",IF('Sistema-Servicios'!D8=Leyenda!$B$12,"BAJO",IF('Sistema-Servicios'!D8=Leyenda!$B$13,"NO APLICA",))))</f>
        <v>0</v>
      </c>
      <c r="J8" s="8">
        <f>IF('Sistema-Servicios'!E8=Leyenda!$C$10,"ALTO",IF('Sistema-Servicios'!E8=Leyenda!$C$11,"MEDIO",IF('Sistema-Servicios'!E8=Leyenda!$C$12,"BAJO",IF('Sistema-Servicios'!E8=Leyenda!$B$13,"""NOAPLICA",))))</f>
        <v>0</v>
      </c>
      <c r="K8" s="8">
        <f>IF('Sistema-Servicios'!F8=Leyenda!$D$10,"ALTO",IF('Sistema-Servicios'!F8=Leyenda!$D$11,"MEDIO",IF('Sistema-Servicios'!F8=Leyenda!$D$12,"BAJO",IF('Sistema-Servicios'!F8=Leyenda!$B$13,"""NOAPLICA",))))</f>
        <v>0</v>
      </c>
      <c r="L8" s="8">
        <f>IF('Sistema-Servicios'!G8=Leyenda!$E$10,"ALTO",IF('Sistema-Servicios'!G8=Leyenda!$E$11,"MEDIO",IF('Sistema-Servicios'!G8=Leyenda!$E$12,"BAJO",)))</f>
        <v>0</v>
      </c>
      <c r="M8" s="8">
        <f>IF('Sistema-Servicios'!H8=Leyenda!$F$10,"ALTO",IF('Sistema-Servicios'!H8=Leyenda!$F$11,"MEDIO",IF('Sistema-Servicios'!H8=Leyenda!$F$12,"BAJO",)))</f>
        <v>0</v>
      </c>
      <c r="N8" s="9" t="str">
        <f t="shared" si="2"/>
        <v>BAJO</v>
      </c>
    </row>
    <row r="9" spans="1:14" x14ac:dyDescent="0.2">
      <c r="A9" s="24"/>
      <c r="B9" s="24"/>
      <c r="C9" s="24"/>
      <c r="E9" s="1"/>
      <c r="F9" s="1"/>
      <c r="G9" s="25"/>
      <c r="H9" s="25"/>
      <c r="I9" s="26"/>
      <c r="J9" s="26"/>
      <c r="K9" s="26"/>
      <c r="L9" s="26"/>
      <c r="M9" s="26"/>
      <c r="N9" s="27"/>
    </row>
    <row r="10" spans="1:14" x14ac:dyDescent="0.2">
      <c r="A10" s="24"/>
      <c r="B10" s="24"/>
      <c r="C10" s="24"/>
      <c r="E10" s="1"/>
      <c r="F10" s="1"/>
      <c r="G10" s="25"/>
      <c r="H10" s="25"/>
      <c r="I10" s="26"/>
      <c r="J10" s="26"/>
      <c r="K10" s="26"/>
      <c r="L10" s="26"/>
      <c r="M10" s="26"/>
      <c r="N10" s="27"/>
    </row>
    <row r="11" spans="1:14" x14ac:dyDescent="0.2">
      <c r="A11" s="24"/>
      <c r="B11" s="24"/>
      <c r="C11" s="24"/>
      <c r="E11" s="1"/>
      <c r="F11" s="1"/>
      <c r="G11" s="25"/>
      <c r="H11" s="25"/>
      <c r="I11" s="26"/>
      <c r="J11" s="26"/>
      <c r="K11" s="26"/>
      <c r="L11" s="26"/>
      <c r="M11" s="26"/>
      <c r="N11" s="27"/>
    </row>
    <row r="12" spans="1:14" x14ac:dyDescent="0.2">
      <c r="A12" s="24"/>
      <c r="B12" s="24"/>
      <c r="C12" s="24"/>
      <c r="E12" s="1"/>
      <c r="F12" s="1"/>
      <c r="G12" s="25"/>
      <c r="H12" s="25"/>
      <c r="I12" s="26"/>
      <c r="J12" s="26"/>
      <c r="K12" s="26"/>
      <c r="L12" s="26"/>
      <c r="M12" s="26"/>
      <c r="N12" s="27"/>
    </row>
    <row r="13" spans="1:14" x14ac:dyDescent="0.2">
      <c r="A13" s="24"/>
      <c r="B13" s="24"/>
      <c r="C13" s="24"/>
      <c r="E13" s="1"/>
      <c r="F13" s="1"/>
      <c r="G13" s="25"/>
      <c r="H13" s="25"/>
      <c r="I13" s="26"/>
      <c r="J13" s="26"/>
      <c r="K13" s="26"/>
      <c r="L13" s="26"/>
      <c r="M13" s="26"/>
      <c r="N13" s="27"/>
    </row>
    <row r="14" spans="1:14" x14ac:dyDescent="0.2">
      <c r="A14" s="24"/>
      <c r="B14" s="24"/>
      <c r="C14" s="24"/>
      <c r="E14" s="1"/>
      <c r="F14" s="1"/>
      <c r="G14" s="25"/>
      <c r="H14" s="25"/>
      <c r="I14" s="26"/>
      <c r="J14" s="26"/>
      <c r="K14" s="26"/>
      <c r="L14" s="26"/>
      <c r="M14" s="26"/>
      <c r="N14" s="27"/>
    </row>
    <row r="17" spans="1:2" ht="39" customHeight="1" x14ac:dyDescent="0.2">
      <c r="A17" s="28" t="s">
        <v>66</v>
      </c>
      <c r="B17" s="28"/>
    </row>
    <row r="18" spans="1:2" x14ac:dyDescent="0.2">
      <c r="A18" s="28" t="s">
        <v>65</v>
      </c>
      <c r="B18" s="28"/>
    </row>
    <row r="19" spans="1:2" x14ac:dyDescent="0.2">
      <c r="A19" s="28"/>
      <c r="B19" s="28"/>
    </row>
    <row r="20" spans="1:2" x14ac:dyDescent="0.2">
      <c r="A20" s="28"/>
      <c r="B20" s="28"/>
    </row>
    <row r="21" spans="1:2" x14ac:dyDescent="0.2">
      <c r="A21" s="28"/>
      <c r="B21" s="28"/>
    </row>
  </sheetData>
  <dataConsolidate/>
  <mergeCells count="3">
    <mergeCell ref="A17:B17"/>
    <mergeCell ref="A18:B18"/>
    <mergeCell ref="A19:B21"/>
  </mergeCells>
  <dataValidations count="1">
    <dataValidation type="list" allowBlank="1" showInputMessage="1" showErrorMessage="1" sqref="D2:D14" xr:uid="{00000000-0002-0000-0100-000000000000}">
      <formula1>DISPONIBILIDAD</formula1>
    </dataValidation>
  </dataValidations>
  <pageMargins left="0.7" right="0.7" top="0.75" bottom="0.75" header="0.3" footer="0.3"/>
  <pageSetup paperSize="9" orientation="portrait" r:id="rId1"/>
  <headerFooter>
    <oddFooter>&amp;L&amp;1#&amp;"Calibri"&amp;10&amp;KC0C0C0Documentación Pública</oddFooter>
  </headerFooter>
  <ignoredErrors>
    <ignoredError sqref="G1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1000000}">
          <x14:formula1>
            <xm:f>Leyenda!$D$10:$D$13</xm:f>
          </x14:formula1>
          <xm:sqref>F2:F14</xm:sqref>
        </x14:dataValidation>
        <x14:dataValidation type="list" allowBlank="1" showInputMessage="1" showErrorMessage="1" xr:uid="{00000000-0002-0000-0100-000003000000}">
          <x14:formula1>
            <xm:f>Leyenda!$E$10:$E$13</xm:f>
          </x14:formula1>
          <xm:sqref>G2:G14</xm:sqref>
        </x14:dataValidation>
        <x14:dataValidation type="list" allowBlank="1" showInputMessage="1" showErrorMessage="1" xr:uid="{00000000-0002-0000-0100-000004000000}">
          <x14:formula1>
            <xm:f>Leyenda!$F$10:$F$13</xm:f>
          </x14:formula1>
          <xm:sqref>H2:H14</xm:sqref>
        </x14:dataValidation>
        <x14:dataValidation type="list" allowBlank="1" showInputMessage="1" showErrorMessage="1" xr:uid="{64220078-F45C-419F-B863-8C8B2E3019C2}">
          <x14:formula1>
            <xm:f>Leyenda!$C$10:$C$13</xm:f>
          </x14:formula1>
          <xm:sqref>E2:E14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96F5-8FEF-421D-90E7-E44040ED6C07}">
  <sheetPr codeName="Hoja1"/>
  <dimension ref="A1:H15"/>
  <sheetViews>
    <sheetView workbookViewId="0">
      <selection activeCell="F9" sqref="F9"/>
    </sheetView>
  </sheetViews>
  <sheetFormatPr baseColWidth="10" defaultColWidth="11.5" defaultRowHeight="15" x14ac:dyDescent="0.2"/>
  <cols>
    <col min="1" max="1" width="43" bestFit="1" customWidth="1"/>
    <col min="2" max="2" width="28.6640625" customWidth="1"/>
    <col min="3" max="7" width="13.5" bestFit="1" customWidth="1"/>
    <col min="8" max="8" width="17" bestFit="1" customWidth="1"/>
  </cols>
  <sheetData>
    <row r="1" spans="1:8" ht="16" x14ac:dyDescent="0.2">
      <c r="A1" s="18" t="s">
        <v>54</v>
      </c>
      <c r="B1" s="19" t="s">
        <v>41</v>
      </c>
      <c r="C1" s="19" t="s">
        <v>44</v>
      </c>
      <c r="D1" s="19" t="s">
        <v>46</v>
      </c>
      <c r="E1" s="19" t="s">
        <v>45</v>
      </c>
      <c r="F1" s="20" t="s">
        <v>47</v>
      </c>
      <c r="G1" s="20" t="s">
        <v>48</v>
      </c>
      <c r="H1" s="21" t="s">
        <v>49</v>
      </c>
    </row>
    <row r="3" spans="1:8" x14ac:dyDescent="0.2">
      <c r="A3" t="s">
        <v>55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tr">
        <f t="shared" ref="H3:H8" si="0">IF(OR(C3="ALTO",D3="ALTO",E3="ALTO",F3="ALTO",G3="ALTO"),"ALTO",IF(OR(C3="MEDIO",D3="MEDIO",E3="MEDIO",F3="MEDIO",G3="MEDIO"),"MEDIO",IF(OR(C3="BAJO",D3="BAJO",E3="BAJO",F3="BAJO",G3="BAJO"),"BAJO","DESPRECIABLE")))</f>
        <v>MEDIO</v>
      </c>
    </row>
    <row r="4" spans="1:8" x14ac:dyDescent="0.2">
      <c r="A4" t="s">
        <v>56</v>
      </c>
      <c r="C4" t="s">
        <v>57</v>
      </c>
      <c r="D4" t="s">
        <v>57</v>
      </c>
      <c r="E4" t="s">
        <v>27</v>
      </c>
      <c r="F4" t="s">
        <v>57</v>
      </c>
      <c r="G4" t="s">
        <v>57</v>
      </c>
      <c r="H4" t="str">
        <f t="shared" si="0"/>
        <v>BAJO</v>
      </c>
    </row>
    <row r="5" spans="1:8" x14ac:dyDescent="0.2">
      <c r="A5" t="s">
        <v>58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tr">
        <f t="shared" si="0"/>
        <v>BAJO</v>
      </c>
    </row>
    <row r="6" spans="1:8" x14ac:dyDescent="0.2">
      <c r="A6" t="s">
        <v>59</v>
      </c>
      <c r="C6" t="s">
        <v>27</v>
      </c>
      <c r="D6" t="s">
        <v>57</v>
      </c>
      <c r="E6" t="s">
        <v>27</v>
      </c>
      <c r="F6" t="s">
        <v>27</v>
      </c>
      <c r="G6" t="s">
        <v>27</v>
      </c>
      <c r="H6" t="str">
        <f t="shared" si="0"/>
        <v>BAJO</v>
      </c>
    </row>
    <row r="7" spans="1:8" x14ac:dyDescent="0.2">
      <c r="A7" t="s">
        <v>60</v>
      </c>
      <c r="C7" t="s">
        <v>57</v>
      </c>
      <c r="D7" t="s">
        <v>57</v>
      </c>
      <c r="E7" t="s">
        <v>15</v>
      </c>
      <c r="F7" t="s">
        <v>27</v>
      </c>
      <c r="G7" t="s">
        <v>27</v>
      </c>
      <c r="H7" t="str">
        <f t="shared" si="0"/>
        <v>ALTO</v>
      </c>
    </row>
    <row r="8" spans="1:8" x14ac:dyDescent="0.2">
      <c r="A8" t="s">
        <v>61</v>
      </c>
      <c r="C8" t="s">
        <v>27</v>
      </c>
      <c r="D8" t="s">
        <v>21</v>
      </c>
      <c r="E8" t="s">
        <v>27</v>
      </c>
      <c r="F8" t="s">
        <v>21</v>
      </c>
      <c r="G8" t="s">
        <v>57</v>
      </c>
      <c r="H8" t="str">
        <f t="shared" si="0"/>
        <v>MEDIO</v>
      </c>
    </row>
    <row r="9" spans="1:8" x14ac:dyDescent="0.2">
      <c r="A9" t="s">
        <v>62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</row>
    <row r="10" spans="1:8" x14ac:dyDescent="0.2">
      <c r="A10" t="s">
        <v>63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</row>
    <row r="12" spans="1:8" ht="48" x14ac:dyDescent="0.2">
      <c r="G12" s="1" t="s">
        <v>64</v>
      </c>
      <c r="H12" t="str">
        <f>IF(OR(H3="ALTO",H4="ALTO",H5="ALTO",H6="ALTO",H7="ALTO", H8="ALTO",H9="ALTO",H10="ALTO"),"ALTO",IF(OR(H3="MEDIO",H4="MEDIO",H5="MEDIO",H6="MEDIO",H7="MEDIO",H8="MEDIO", H9="MEDIO",H10="MEDIO"),"MEDIO","BAJO"))</f>
        <v>ALTO</v>
      </c>
    </row>
    <row r="15" spans="1:8" ht="16" x14ac:dyDescent="0.2">
      <c r="A15" s="22" t="s">
        <v>50</v>
      </c>
      <c r="B15" s="23"/>
      <c r="C15" s="23"/>
      <c r="D15" s="23"/>
      <c r="E15" s="23"/>
      <c r="F15" s="23"/>
      <c r="G15" s="23"/>
      <c r="H15" s="23" t="str">
        <f>H12</f>
        <v>ALTO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f8027f-9011-411a-a4c8-e38daf01ce10">
      <Terms xmlns="http://schemas.microsoft.com/office/infopath/2007/PartnerControls"/>
    </lcf76f155ced4ddcb4097134ff3c332f>
    <TaxCatchAll xmlns="d7abcff5-550c-47e2-b2db-1bd575b89f6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DBCC091C42384D8B76B8D5EEC85C40" ma:contentTypeVersion="11" ma:contentTypeDescription="Crear nuevo documento." ma:contentTypeScope="" ma:versionID="f233c245e291e80916bba1ec63ba3290">
  <xsd:schema xmlns:xsd="http://www.w3.org/2001/XMLSchema" xmlns:xs="http://www.w3.org/2001/XMLSchema" xmlns:p="http://schemas.microsoft.com/office/2006/metadata/properties" xmlns:ns2="10f8027f-9011-411a-a4c8-e38daf01ce10" xmlns:ns3="d7abcff5-550c-47e2-b2db-1bd575b89f67" targetNamespace="http://schemas.microsoft.com/office/2006/metadata/properties" ma:root="true" ma:fieldsID="ecaf72399f4007a38a1938a121ec3cb0" ns2:_="" ns3:_="">
    <xsd:import namespace="10f8027f-9011-411a-a4c8-e38daf01ce10"/>
    <xsd:import namespace="d7abcff5-550c-47e2-b2db-1bd575b89f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f8027f-9011-411a-a4c8-e38daf01ce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a48e371-3fe9-497e-949b-ae928037de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bcff5-550c-47e2-b2db-1bd575b89f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866420-81c2-44c4-b811-4edb33ffa540}" ma:internalName="TaxCatchAll" ma:showField="CatchAllData" ma:web="d7abcff5-550c-47e2-b2db-1bd575b89f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228BAB-258F-49FA-8C1A-81B8D54547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0EA7A7-6495-4A16-8484-B8B4BAAC6D96}">
  <ds:schemaRefs>
    <ds:schemaRef ds:uri="http://schemas.microsoft.com/office/2006/metadata/properties"/>
    <ds:schemaRef ds:uri="http://schemas.microsoft.com/office/infopath/2007/PartnerControls"/>
    <ds:schemaRef ds:uri="10f8027f-9011-411a-a4c8-e38daf01ce10"/>
    <ds:schemaRef ds:uri="d7abcff5-550c-47e2-b2db-1bd575b89f67"/>
  </ds:schemaRefs>
</ds:datastoreItem>
</file>

<file path=customXml/itemProps3.xml><?xml version="1.0" encoding="utf-8"?>
<ds:datastoreItem xmlns:ds="http://schemas.openxmlformats.org/officeDocument/2006/customXml" ds:itemID="{B73FDDCE-17BB-4CD8-957A-2CC83D126A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f8027f-9011-411a-a4c8-e38daf01ce10"/>
    <ds:schemaRef ds:uri="d7abcff5-550c-47e2-b2db-1bd575b89f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13763a0-54b0-48c5-8bac-fa4a54e02556}" enabled="0" method="" siteId="{113763a0-54b0-48c5-8bac-fa4a54e02556}" removed="1"/>
  <clbl:label id="{b323aa65-399f-40f0-b825-e2a273b232de}" enabled="1" method="Standard" siteId="{d975a545-c571-45d7-82a8-b50dabde283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Leyenda</vt:lpstr>
      <vt:lpstr>Sistema-Servicios</vt:lpstr>
      <vt:lpstr>Categorización Datos</vt:lpstr>
      <vt:lpstr>CONFIDENCIALIDAD</vt:lpstr>
      <vt:lpstr>DISPONIBILIDAD</vt:lpstr>
      <vt:lpstr>INTEGRIDAD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PEÑA SANCHEZ, ADRIAN</cp:lastModifiedBy>
  <cp:revision/>
  <dcterms:created xsi:type="dcterms:W3CDTF">2018-11-26T17:14:05Z</dcterms:created>
  <dcterms:modified xsi:type="dcterms:W3CDTF">2025-12-17T18:06:45Z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23aa65-399f-40f0-b825-e2a273b232de_Enabled">
    <vt:lpwstr>true</vt:lpwstr>
  </property>
  <property fmtid="{D5CDD505-2E9C-101B-9397-08002B2CF9AE}" pid="3" name="MSIP_Label_b323aa65-399f-40f0-b825-e2a273b232de_SetDate">
    <vt:lpwstr>2021-01-20T12:35:32Z</vt:lpwstr>
  </property>
  <property fmtid="{D5CDD505-2E9C-101B-9397-08002B2CF9AE}" pid="4" name="MSIP_Label_b323aa65-399f-40f0-b825-e2a273b232de_Method">
    <vt:lpwstr>Standard</vt:lpwstr>
  </property>
  <property fmtid="{D5CDD505-2E9C-101B-9397-08002B2CF9AE}" pid="5" name="MSIP_Label_b323aa65-399f-40f0-b825-e2a273b232de_Name">
    <vt:lpwstr>PUBLICA</vt:lpwstr>
  </property>
  <property fmtid="{D5CDD505-2E9C-101B-9397-08002B2CF9AE}" pid="6" name="MSIP_Label_b323aa65-399f-40f0-b825-e2a273b232de_SiteId">
    <vt:lpwstr>d975a545-c571-45d7-82a8-b50dabde283c</vt:lpwstr>
  </property>
  <property fmtid="{D5CDD505-2E9C-101B-9397-08002B2CF9AE}" pid="7" name="MSIP_Label_b323aa65-399f-40f0-b825-e2a273b232de_ActionId">
    <vt:lpwstr>32cb7345-17d7-42f8-81a4-16458009516b</vt:lpwstr>
  </property>
  <property fmtid="{D5CDD505-2E9C-101B-9397-08002B2CF9AE}" pid="8" name="MSIP_Label_b323aa65-399f-40f0-b825-e2a273b232de_ContentBits">
    <vt:lpwstr>2</vt:lpwstr>
  </property>
  <property fmtid="{D5CDD505-2E9C-101B-9397-08002B2CF9AE}" pid="9" name="ContentTypeId">
    <vt:lpwstr>0x0101000ADBCC091C42384D8B76B8D5EEC85C40</vt:lpwstr>
  </property>
  <property fmtid="{D5CDD505-2E9C-101B-9397-08002B2CF9AE}" pid="10" name="MediaServiceImageTags">
    <vt:lpwstr/>
  </property>
</Properties>
</file>